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D4AE2779-D9F7-4733-BC79-9DA0742B0312}" xr6:coauthVersionLast="47" xr6:coauthVersionMax="47" xr10:uidLastSave="{00000000-0000-0000-0000-000000000000}"/>
  <bookViews>
    <workbookView xWindow="-108" yWindow="-108" windowWidth="23256" windowHeight="13176" activeTab="3" xr2:uid="{9679B9C9-43E0-4A85-AA26-56A771E65793}"/>
  </bookViews>
  <sheets>
    <sheet name="Inputs" sheetId="1" r:id="rId1"/>
    <sheet name="Pro_Forma" sheetId="5" r:id="rId2"/>
    <sheet name="Debt_Schedule" sheetId="4" r:id="rId3"/>
    <sheet name="Returns_Sensitivity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6" l="1"/>
  <c r="B26" i="6"/>
  <c r="B7" i="6"/>
  <c r="D31" i="6"/>
  <c r="D30" i="6"/>
  <c r="B11" i="6"/>
  <c r="B8" i="6"/>
  <c r="B6" i="6"/>
  <c r="F27" i="6"/>
  <c r="D27" i="6"/>
  <c r="E27" i="6"/>
  <c r="C27" i="6"/>
  <c r="D26" i="6"/>
  <c r="E26" i="6"/>
  <c r="F26" i="6"/>
  <c r="C26" i="6"/>
  <c r="C6" i="5"/>
  <c r="D6" i="5"/>
  <c r="C7" i="5"/>
  <c r="B21" i="5"/>
  <c r="B20" i="5"/>
  <c r="B18" i="5"/>
  <c r="C17" i="5"/>
  <c r="D17" i="5"/>
  <c r="E17" i="5"/>
  <c r="F17" i="5"/>
  <c r="B17" i="5"/>
  <c r="B15" i="5"/>
  <c r="E14" i="5"/>
  <c r="B12" i="5"/>
  <c r="C11" i="5"/>
  <c r="D11" i="5"/>
  <c r="E11" i="5"/>
  <c r="F11" i="5"/>
  <c r="G11" i="5"/>
  <c r="B11" i="5"/>
  <c r="B10" i="5"/>
  <c r="B9" i="5"/>
  <c r="B8" i="5"/>
  <c r="B7" i="5"/>
  <c r="B6" i="5"/>
  <c r="F9" i="4"/>
  <c r="D8" i="4"/>
  <c r="D6" i="4"/>
  <c r="D11" i="4"/>
  <c r="E6" i="4" s="1"/>
  <c r="E8" i="4" s="1"/>
  <c r="E9" i="4" s="1"/>
  <c r="D10" i="4"/>
  <c r="C11" i="4"/>
  <c r="B11" i="4"/>
  <c r="C10" i="4"/>
  <c r="C8" i="4"/>
  <c r="B7" i="4"/>
  <c r="C6" i="4"/>
  <c r="B37" i="1"/>
  <c r="B11" i="1"/>
  <c r="B12" i="1" s="1"/>
  <c r="B9" i="6" l="1"/>
  <c r="B10" i="6" s="1"/>
  <c r="E6" i="5"/>
  <c r="D7" i="5"/>
  <c r="C8" i="5"/>
  <c r="C9" i="5" s="1"/>
  <c r="D8" i="5"/>
  <c r="D9" i="5" s="1"/>
  <c r="E11" i="4"/>
  <c r="F6" i="4" s="1"/>
  <c r="F8" i="4" s="1"/>
  <c r="E10" i="4"/>
  <c r="B12" i="6" l="1"/>
  <c r="G27" i="6" s="1"/>
  <c r="G26" i="6"/>
  <c r="E7" i="5"/>
  <c r="F6" i="5"/>
  <c r="C10" i="5"/>
  <c r="C12" i="5" s="1"/>
  <c r="D10" i="5"/>
  <c r="D12" i="5"/>
  <c r="B22" i="6" l="1"/>
  <c r="B21" i="6"/>
  <c r="B33" i="6" s="1"/>
  <c r="B16" i="6"/>
  <c r="B17" i="6"/>
  <c r="E8" i="5"/>
  <c r="E9" i="5" s="1"/>
  <c r="E10" i="5" s="1"/>
  <c r="E12" i="5" s="1"/>
  <c r="F7" i="5"/>
  <c r="G6" i="5"/>
  <c r="G7" i="5" s="1"/>
  <c r="G8" i="5" s="1"/>
  <c r="G9" i="5" s="1"/>
  <c r="C15" i="5"/>
  <c r="C18" i="5" s="1"/>
  <c r="C20" i="5"/>
  <c r="C21" i="5" s="1"/>
  <c r="D15" i="5"/>
  <c r="D18" i="5" s="1"/>
  <c r="D20" i="5"/>
  <c r="D21" i="5" s="1"/>
  <c r="F11" i="4"/>
  <c r="G6" i="4" s="1"/>
  <c r="G8" i="4" s="1"/>
  <c r="G9" i="4" s="1"/>
  <c r="F10" i="4"/>
  <c r="F8" i="5" l="1"/>
  <c r="F9" i="5" s="1"/>
  <c r="G10" i="5"/>
  <c r="G12" i="5" s="1"/>
  <c r="G15" i="5" s="1"/>
  <c r="E15" i="5"/>
  <c r="E18" i="5" s="1"/>
  <c r="E20" i="5"/>
  <c r="E21" i="5" s="1"/>
  <c r="F10" i="5" l="1"/>
  <c r="F12" i="5" s="1"/>
  <c r="F15" i="5" l="1"/>
  <c r="F18" i="5" s="1"/>
  <c r="F20" i="5"/>
  <c r="F21" i="5" s="1"/>
  <c r="G11" i="4"/>
  <c r="G10" i="4"/>
</calcChain>
</file>

<file path=xl/sharedStrings.xml><?xml version="1.0" encoding="utf-8"?>
<sst xmlns="http://schemas.openxmlformats.org/spreadsheetml/2006/main" count="119" uniqueCount="108">
  <si>
    <t>Heathrow Logistics Hub — Acquisition Assumptions</t>
  </si>
  <si>
    <t>I. Asset Profile &amp; Timeline</t>
  </si>
  <si>
    <t>Gross Lettable Area (GLA)</t>
  </si>
  <si>
    <t>Acquisition Close Date</t>
  </si>
  <si>
    <t>Hold Period</t>
  </si>
  <si>
    <t>II. Acquisition Capitalization</t>
  </si>
  <si>
    <t>Purchase Price</t>
  </si>
  <si>
    <t>Acquisition Costs (%)</t>
  </si>
  <si>
    <t>Acquisition Costs (£)</t>
  </si>
  <si>
    <t>Total Acquisition Basis (Uses)</t>
  </si>
  <si>
    <t>III. Operations &amp; Underwriting</t>
  </si>
  <si>
    <t>Base In-Place Rent (Year 1)</t>
  </si>
  <si>
    <t>Annual Rent Escalation</t>
  </si>
  <si>
    <t>General Vacancy &amp; Credit Loss</t>
  </si>
  <si>
    <t>Operating Expenses (OpEx % of EGI)</t>
  </si>
  <si>
    <t>CapEx Reserve per sq. ft.</t>
  </si>
  <si>
    <t>Year 4 Tenant Refurb / Renewal Reserve</t>
  </si>
  <si>
    <t>IV. Debt Financing (Senior Facility)</t>
  </si>
  <si>
    <t>Loan-to-Value (LTV)</t>
  </si>
  <si>
    <t>Senior Loan Commitment</t>
  </si>
  <si>
    <t>Interest Rate (Fixed)</t>
  </si>
  <si>
    <t>Interest-Only (IO) Period</t>
  </si>
  <si>
    <t>Amortization Term (Post-IO)</t>
  </si>
  <si>
    <t>Minimum Target DSCR Covenant</t>
  </si>
  <si>
    <t>V. DISPOSITION &amp; TERMINAL VALUE</t>
  </si>
  <si>
    <t>Target Exit Cap Rate</t>
  </si>
  <si>
    <t>Sale &amp; Disposition Costs</t>
  </si>
  <si>
    <t>VI. SOURCES &amp; USES SUMMARY</t>
  </si>
  <si>
    <t>Senior Debt Facility</t>
  </si>
  <si>
    <t>Sponsor Equity Required</t>
  </si>
  <si>
    <t>Total Sources Check</t>
  </si>
  <si>
    <t>sq. ft.</t>
  </si>
  <si>
    <t>Years</t>
  </si>
  <si>
    <t>Base purchase price</t>
  </si>
  <si>
    <t>SDLT &amp; legal fees</t>
  </si>
  <si>
    <t xml:space="preserve"> per sq. ft. / yr</t>
  </si>
  <si>
    <t xml:space="preserve"> Annual contractual</t>
  </si>
  <si>
    <t xml:space="preserve"> % of PGI</t>
  </si>
  <si>
    <t xml:space="preserve"> FRI Lease baseline</t>
  </si>
  <si>
    <t xml:space="preserve"> per sq. ft.</t>
  </si>
  <si>
    <t xml:space="preserve"> Tenant renewal allowance</t>
  </si>
  <si>
    <t xml:space="preserve"> Senior debt %</t>
  </si>
  <si>
    <t xml:space="preserve"> Per annum</t>
  </si>
  <si>
    <t xml:space="preserve"> Years</t>
  </si>
  <si>
    <t xml:space="preserve"> Years (300 months)</t>
  </si>
  <si>
    <t xml:space="preserve"> Minimum debt coverage</t>
  </si>
  <si>
    <t>Exit yield</t>
  </si>
  <si>
    <t>Broker / legal fee at exit</t>
  </si>
  <si>
    <t>1.35x</t>
  </si>
  <si>
    <t>SDLT &amp; transaction costs</t>
  </si>
  <si>
    <t>Total gross capital required</t>
  </si>
  <si>
    <t>Senior loan facility</t>
  </si>
  <si>
    <t>Senior debt</t>
  </si>
  <si>
    <t>Equity required</t>
  </si>
  <si>
    <t>Sources / Uses balance check</t>
  </si>
  <si>
    <t>Heathrow Logistics Hub — Senior Debt Financing Schedule</t>
  </si>
  <si>
    <t>Period / Line Item</t>
  </si>
  <si>
    <t>Year 0 (Close)</t>
  </si>
  <si>
    <t>Year 1</t>
  </si>
  <si>
    <t>Year 2</t>
  </si>
  <si>
    <t>Year 3</t>
  </si>
  <si>
    <t>Year 4</t>
  </si>
  <si>
    <t>Year 5</t>
  </si>
  <si>
    <t>Beginning Balance</t>
  </si>
  <si>
    <t>Senior Debt Facility Drawdown</t>
  </si>
  <si>
    <t>Interest Expense (5.25%)</t>
  </si>
  <si>
    <t>Principal Repayment / Amortization</t>
  </si>
  <si>
    <t>Total Debt Service</t>
  </si>
  <si>
    <t>Ending Principal Balance</t>
  </si>
  <si>
    <t>Heathrow Logistics Hub — 5-Year Cash Flow Pro-Forma Waterfall</t>
  </si>
  <si>
    <t>Operating Line Item</t>
  </si>
  <si>
    <t>Year 6(Exit Underwrite)</t>
  </si>
  <si>
    <t>Contractual Rent / sq. ft.</t>
  </si>
  <si>
    <t>Potential Gross Income (PGI)</t>
  </si>
  <si>
    <t>Less: Vacancy &amp; Credit Loss (3%)</t>
  </si>
  <si>
    <t>Effective Gross Income (EGI)</t>
  </si>
  <si>
    <t>Less: Operating Expenses (5% of EGI)</t>
  </si>
  <si>
    <t>Less: CapEx Reserve (£0.25/sq. ft.)</t>
  </si>
  <si>
    <t>Net Operating Income (NOI)</t>
  </si>
  <si>
    <t>Less: Tenant Improvement &amp; Refurb</t>
  </si>
  <si>
    <t>Cash Flow Before Debt (Unlevered CF)</t>
  </si>
  <si>
    <t>Less: Total Debt Service</t>
  </si>
  <si>
    <t>Cash Flow After Debt (Levered CF)</t>
  </si>
  <si>
    <t>Debt Service Coverage Ratio (DSCR)</t>
  </si>
  <si>
    <t>DSCR Covenant Compliance (Min 1.35x)</t>
  </si>
  <si>
    <t>Heathrow Logistics Hub — Investment Returns &amp; Disposition Waterfall</t>
  </si>
  <si>
    <t>I. Disposition &amp; Terminal Valuation</t>
  </si>
  <si>
    <t>Forward Year 6 NOI</t>
  </si>
  <si>
    <t>Terminal Exit Cap Rate</t>
  </si>
  <si>
    <t>Gross Disposition Price</t>
  </si>
  <si>
    <t>Less: Disposition &amp; Broker Costs (2%)</t>
  </si>
  <si>
    <t>Net Disposition Value</t>
  </si>
  <si>
    <t>Less: Senior Debt Payoff (Year 5 Ending Balance)</t>
  </si>
  <si>
    <t>Net Disposition Proceeds to Equity</t>
  </si>
  <si>
    <t>II. Unlevered Returns (Asset-Level)</t>
  </si>
  <si>
    <t>Initial Acquisition Basis</t>
  </si>
  <si>
    <t>Unlevered IRR</t>
  </si>
  <si>
    <t>Unlevered Equity Multiple</t>
  </si>
  <si>
    <t>III. Levered Returns (Equity-Level)</t>
  </si>
  <si>
    <t>Initial Equity Invested</t>
  </si>
  <si>
    <t>Levered IRR</t>
  </si>
  <si>
    <t>Levered Equity Multiple (MOIC)</t>
  </si>
  <si>
    <t>Year 0(Close)</t>
  </si>
  <si>
    <t>Total Unlevered Cash Flow</t>
  </si>
  <si>
    <t>Total Levered Equity Cash Flow</t>
  </si>
  <si>
    <t>IV. Levered IRR Sensitivity Matrix</t>
  </si>
  <si>
    <t>Base Price:</t>
  </si>
  <si>
    <t>Base Cap Rate: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</si>
</sst>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£#,##0"/>
    <numFmt numFmtId="165" formatCode="\£#,##0.00"/>
    <numFmt numFmtId="166" formatCode="[$-809]\£#,##0"/>
    <numFmt numFmtId="167" formatCode="[$-409]\£#,##0"/>
    <numFmt numFmtId="172" formatCode="[$£-809]#,##0"/>
    <numFmt numFmtId="173" formatCode="[$£-809]#,##0.00"/>
    <numFmt numFmtId="174" formatCode="0.00&quot;x&quot;"/>
    <numFmt numFmtId="175" formatCode="&quot;Exit Yield \ Price&quot;"/>
  </numFmts>
  <fonts count="7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  <font>
      <sz val="11"/>
      <color theme="0" tint="-0.34998626667073579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3" fontId="0" fillId="0" borderId="0" xfId="0" applyNumberFormat="1"/>
    <xf numFmtId="14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0" xfId="0" applyFont="1"/>
    <xf numFmtId="0" fontId="3" fillId="0" borderId="0" xfId="0" applyFont="1"/>
    <xf numFmtId="172" fontId="0" fillId="0" borderId="0" xfId="0" applyNumberFormat="1"/>
    <xf numFmtId="172" fontId="4" fillId="0" borderId="0" xfId="0" applyNumberFormat="1" applyFont="1"/>
    <xf numFmtId="173" fontId="0" fillId="0" borderId="0" xfId="0" applyNumberFormat="1"/>
    <xf numFmtId="174" fontId="0" fillId="0" borderId="0" xfId="0" applyNumberFormat="1"/>
    <xf numFmtId="0" fontId="0" fillId="0" borderId="0" xfId="0" applyFont="1"/>
    <xf numFmtId="9" fontId="0" fillId="0" borderId="0" xfId="0" applyNumberFormat="1"/>
    <xf numFmtId="10" fontId="4" fillId="0" borderId="0" xfId="0" applyNumberFormat="1" applyFont="1"/>
    <xf numFmtId="164" fontId="4" fillId="0" borderId="0" xfId="0" applyNumberFormat="1" applyFont="1"/>
    <xf numFmtId="175" fontId="4" fillId="0" borderId="0" xfId="0" applyNumberFormat="1" applyFont="1"/>
    <xf numFmtId="0" fontId="5" fillId="0" borderId="0" xfId="0" applyFont="1"/>
    <xf numFmtId="10" fontId="5" fillId="0" borderId="0" xfId="0" applyNumberFormat="1" applyFont="1"/>
    <xf numFmtId="0" fontId="2" fillId="0" borderId="1" xfId="0" applyFont="1" applyBorder="1"/>
    <xf numFmtId="0" fontId="0" fillId="0" borderId="2" xfId="0" applyBorder="1"/>
    <xf numFmtId="0" fontId="0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164" fontId="2" fillId="0" borderId="5" xfId="0" applyNumberFormat="1" applyFont="1" applyBorder="1"/>
    <xf numFmtId="164" fontId="0" fillId="0" borderId="2" xfId="0" applyNumberFormat="1" applyBorder="1"/>
    <xf numFmtId="0" fontId="6" fillId="0" borderId="3" xfId="0" applyFont="1" applyBorder="1"/>
    <xf numFmtId="172" fontId="2" fillId="0" borderId="0" xfId="0" applyNumberFormat="1" applyFont="1"/>
    <xf numFmtId="172" fontId="2" fillId="0" borderId="4" xfId="0" applyNumberFormat="1" applyFont="1" applyBorder="1"/>
    <xf numFmtId="172" fontId="0" fillId="0" borderId="2" xfId="0" applyNumberFormat="1" applyBorder="1"/>
    <xf numFmtId="172" fontId="2" fillId="0" borderId="5" xfId="0" applyNumberFormat="1" applyFont="1" applyBorder="1"/>
    <xf numFmtId="17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68E5E-6685-4C65-A4E8-03BD9B9B1CCC}">
  <dimension ref="A1:C38"/>
  <sheetViews>
    <sheetView showGridLines="0" zoomScaleNormal="100" workbookViewId="0">
      <selection activeCell="C37" sqref="C37"/>
    </sheetView>
  </sheetViews>
  <sheetFormatPr defaultRowHeight="14.4"/>
  <cols>
    <col min="1" max="1" width="50.21875" bestFit="1" customWidth="1"/>
    <col min="2" max="2" width="11.109375" bestFit="1" customWidth="1"/>
    <col min="3" max="3" width="25.109375" bestFit="1" customWidth="1"/>
  </cols>
  <sheetData>
    <row r="1" spans="1:3" ht="15.6">
      <c r="A1" s="9" t="s">
        <v>0</v>
      </c>
    </row>
    <row r="3" spans="1:3">
      <c r="A3" s="24" t="s">
        <v>1</v>
      </c>
      <c r="B3" s="1"/>
    </row>
    <row r="4" spans="1:3">
      <c r="A4" t="s">
        <v>2</v>
      </c>
      <c r="B4" s="1">
        <v>150000</v>
      </c>
      <c r="C4" t="s">
        <v>31</v>
      </c>
    </row>
    <row r="5" spans="1:3">
      <c r="A5" t="s">
        <v>3</v>
      </c>
      <c r="B5" s="2">
        <v>46388</v>
      </c>
    </row>
    <row r="6" spans="1:3">
      <c r="A6" t="s">
        <v>4</v>
      </c>
      <c r="B6">
        <v>5</v>
      </c>
      <c r="C6" t="s">
        <v>32</v>
      </c>
    </row>
    <row r="8" spans="1:3">
      <c r="A8" s="24" t="s">
        <v>5</v>
      </c>
    </row>
    <row r="9" spans="1:3">
      <c r="A9" t="s">
        <v>6</v>
      </c>
      <c r="B9" s="7">
        <v>25000000</v>
      </c>
      <c r="C9" t="s">
        <v>33</v>
      </c>
    </row>
    <row r="10" spans="1:3">
      <c r="A10" t="s">
        <v>7</v>
      </c>
      <c r="B10" s="3">
        <v>4.4999999999999998E-2</v>
      </c>
      <c r="C10" t="s">
        <v>34</v>
      </c>
    </row>
    <row r="11" spans="1:3">
      <c r="A11" t="s">
        <v>8</v>
      </c>
      <c r="B11" s="6">
        <f>B9*B10</f>
        <v>1125000</v>
      </c>
      <c r="C11" t="s">
        <v>49</v>
      </c>
    </row>
    <row r="12" spans="1:3">
      <c r="A12" s="26" t="s">
        <v>9</v>
      </c>
      <c r="B12" s="27">
        <f>B9+B11</f>
        <v>26125000</v>
      </c>
      <c r="C12" s="26" t="s">
        <v>50</v>
      </c>
    </row>
    <row r="14" spans="1:3">
      <c r="A14" s="24" t="s">
        <v>10</v>
      </c>
    </row>
    <row r="15" spans="1:3">
      <c r="A15" t="s">
        <v>11</v>
      </c>
      <c r="B15" s="5">
        <v>12.5</v>
      </c>
      <c r="C15" t="s">
        <v>35</v>
      </c>
    </row>
    <row r="16" spans="1:3">
      <c r="A16" t="s">
        <v>12</v>
      </c>
      <c r="B16" s="3">
        <v>3.5000000000000003E-2</v>
      </c>
      <c r="C16" t="s">
        <v>36</v>
      </c>
    </row>
    <row r="17" spans="1:3">
      <c r="A17" t="s">
        <v>13</v>
      </c>
      <c r="B17" s="3">
        <v>0.03</v>
      </c>
      <c r="C17" t="s">
        <v>37</v>
      </c>
    </row>
    <row r="18" spans="1:3">
      <c r="A18" t="s">
        <v>14</v>
      </c>
      <c r="B18" s="3">
        <v>0.05</v>
      </c>
      <c r="C18" t="s">
        <v>38</v>
      </c>
    </row>
    <row r="19" spans="1:3">
      <c r="A19" t="s">
        <v>15</v>
      </c>
      <c r="B19" s="5">
        <v>0.25</v>
      </c>
      <c r="C19" t="s">
        <v>39</v>
      </c>
    </row>
    <row r="20" spans="1:3">
      <c r="A20" t="s">
        <v>16</v>
      </c>
      <c r="B20" s="4">
        <v>150000</v>
      </c>
      <c r="C20" t="s">
        <v>40</v>
      </c>
    </row>
    <row r="22" spans="1:3">
      <c r="A22" s="24" t="s">
        <v>17</v>
      </c>
    </row>
    <row r="23" spans="1:3">
      <c r="A23" t="s">
        <v>18</v>
      </c>
      <c r="B23" s="3">
        <v>0.65</v>
      </c>
      <c r="C23" t="s">
        <v>41</v>
      </c>
    </row>
    <row r="24" spans="1:3">
      <c r="A24" t="s">
        <v>19</v>
      </c>
      <c r="B24" s="4">
        <v>16250000</v>
      </c>
      <c r="C24" t="s">
        <v>51</v>
      </c>
    </row>
    <row r="25" spans="1:3">
      <c r="A25" t="s">
        <v>20</v>
      </c>
      <c r="B25" s="3">
        <v>5.2499999999999998E-2</v>
      </c>
      <c r="C25" t="s">
        <v>42</v>
      </c>
    </row>
    <row r="26" spans="1:3">
      <c r="A26" t="s">
        <v>21</v>
      </c>
      <c r="B26">
        <v>2</v>
      </c>
      <c r="C26" t="s">
        <v>43</v>
      </c>
    </row>
    <row r="27" spans="1:3">
      <c r="A27" t="s">
        <v>22</v>
      </c>
      <c r="B27">
        <v>25</v>
      </c>
      <c r="C27" t="s">
        <v>44</v>
      </c>
    </row>
    <row r="28" spans="1:3">
      <c r="A28" t="s">
        <v>23</v>
      </c>
      <c r="B28" t="s">
        <v>48</v>
      </c>
      <c r="C28" t="s">
        <v>45</v>
      </c>
    </row>
    <row r="30" spans="1:3">
      <c r="A30" s="24" t="s">
        <v>24</v>
      </c>
    </row>
    <row r="31" spans="1:3">
      <c r="A31" t="s">
        <v>25</v>
      </c>
      <c r="B31" s="3">
        <v>0.05</v>
      </c>
      <c r="C31" t="s">
        <v>46</v>
      </c>
    </row>
    <row r="32" spans="1:3">
      <c r="A32" t="s">
        <v>26</v>
      </c>
      <c r="B32" s="3">
        <v>0.02</v>
      </c>
      <c r="C32" t="s">
        <v>47</v>
      </c>
    </row>
    <row r="34" spans="1:3">
      <c r="A34" s="24" t="s">
        <v>27</v>
      </c>
    </row>
    <row r="35" spans="1:3">
      <c r="A35" t="s">
        <v>28</v>
      </c>
      <c r="B35" s="4">
        <v>16250000</v>
      </c>
      <c r="C35" t="s">
        <v>52</v>
      </c>
    </row>
    <row r="36" spans="1:3">
      <c r="A36" t="s">
        <v>29</v>
      </c>
      <c r="B36" s="4">
        <v>9875000</v>
      </c>
      <c r="C36" t="s">
        <v>53</v>
      </c>
    </row>
    <row r="37" spans="1:3" ht="15" thickBot="1">
      <c r="A37" s="22" t="s">
        <v>30</v>
      </c>
      <c r="B37" s="28">
        <f>B35+B36</f>
        <v>26125000</v>
      </c>
      <c r="C37" s="22" t="s">
        <v>54</v>
      </c>
    </row>
    <row r="38" spans="1:3" ht="15" thickTop="1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41D48-1CD2-4FB2-BED9-AF907FD43723}">
  <dimension ref="A3:G21"/>
  <sheetViews>
    <sheetView showGridLines="0" zoomScaleNormal="100" workbookViewId="0">
      <selection activeCell="B28" sqref="B28"/>
    </sheetView>
  </sheetViews>
  <sheetFormatPr defaultRowHeight="14.4"/>
  <cols>
    <col min="1" max="1" width="63" bestFit="1" customWidth="1"/>
    <col min="2" max="3" width="9.88671875" bestFit="1" customWidth="1"/>
    <col min="4" max="6" width="10.5546875" bestFit="1" customWidth="1"/>
    <col min="7" max="7" width="20.109375" bestFit="1" customWidth="1"/>
  </cols>
  <sheetData>
    <row r="3" spans="1:7" ht="15.6">
      <c r="A3" s="9" t="s">
        <v>69</v>
      </c>
    </row>
    <row r="5" spans="1:7">
      <c r="A5" s="24" t="s">
        <v>70</v>
      </c>
      <c r="B5" s="24" t="s">
        <v>58</v>
      </c>
      <c r="C5" s="24" t="s">
        <v>59</v>
      </c>
      <c r="D5" s="24" t="s">
        <v>60</v>
      </c>
      <c r="E5" s="24" t="s">
        <v>61</v>
      </c>
      <c r="F5" s="24" t="s">
        <v>62</v>
      </c>
      <c r="G5" s="24" t="s">
        <v>71</v>
      </c>
    </row>
    <row r="6" spans="1:7">
      <c r="A6" t="s">
        <v>72</v>
      </c>
      <c r="B6" s="12">
        <f>Inputs!B15</f>
        <v>12.5</v>
      </c>
      <c r="C6" s="12">
        <f>B6*(1+Inputs!$B$16)</f>
        <v>12.937499999999998</v>
      </c>
      <c r="D6" s="12">
        <f>C6*(1+Inputs!$B$16)</f>
        <v>13.390312499999997</v>
      </c>
      <c r="E6" s="12">
        <f>D6*(1+Inputs!$B$16)</f>
        <v>13.858973437499996</v>
      </c>
      <c r="F6" s="12">
        <f>E6*(1+Inputs!$B$16)</f>
        <v>14.344037507812494</v>
      </c>
      <c r="G6" s="12">
        <f>F6*(1+Inputs!$B$16)</f>
        <v>14.84607882058593</v>
      </c>
    </row>
    <row r="7" spans="1:7">
      <c r="A7" t="s">
        <v>73</v>
      </c>
      <c r="B7" s="10">
        <f>Inputs!$B$4*B6</f>
        <v>1875000</v>
      </c>
      <c r="C7" s="10">
        <f>Inputs!$B$4*C6</f>
        <v>1940624.9999999998</v>
      </c>
      <c r="D7" s="10">
        <f>Inputs!$B$4*D6</f>
        <v>2008546.8749999995</v>
      </c>
      <c r="E7" s="10">
        <f>Inputs!$B$4*E6</f>
        <v>2078846.0156249993</v>
      </c>
      <c r="F7" s="10">
        <f>Inputs!$B$4*F6</f>
        <v>2151605.6261718743</v>
      </c>
      <c r="G7" s="10">
        <f>Inputs!$B$4*G6</f>
        <v>2226911.8230878897</v>
      </c>
    </row>
    <row r="8" spans="1:7">
      <c r="A8" t="s">
        <v>74</v>
      </c>
      <c r="B8" s="10">
        <f>-B7*Inputs!$B$17</f>
        <v>-56250</v>
      </c>
      <c r="C8" s="10">
        <f>-C7*Inputs!$B$17</f>
        <v>-58218.749999999993</v>
      </c>
      <c r="D8" s="10">
        <f>-D7*Inputs!$B$17</f>
        <v>-60256.406249999985</v>
      </c>
      <c r="E8" s="10">
        <f>-E7*Inputs!$B$17</f>
        <v>-62365.38046874998</v>
      </c>
      <c r="F8" s="10">
        <f>-F7*Inputs!$B$17</f>
        <v>-64548.168785156231</v>
      </c>
      <c r="G8" s="10">
        <f>-G7*Inputs!$B$17</f>
        <v>-66807.354692636683</v>
      </c>
    </row>
    <row r="9" spans="1:7">
      <c r="A9" s="25" t="s">
        <v>75</v>
      </c>
      <c r="B9" s="31">
        <f>B7+B8</f>
        <v>1818750</v>
      </c>
      <c r="C9" s="31">
        <f t="shared" ref="C9:G9" si="0">C7+C8</f>
        <v>1882406.2499999998</v>
      </c>
      <c r="D9" s="31">
        <f t="shared" si="0"/>
        <v>1948290.4687499995</v>
      </c>
      <c r="E9" s="31">
        <f t="shared" si="0"/>
        <v>2016480.6351562494</v>
      </c>
      <c r="F9" s="31">
        <f t="shared" si="0"/>
        <v>2087057.4573867181</v>
      </c>
      <c r="G9" s="31">
        <f t="shared" si="0"/>
        <v>2160104.4683952532</v>
      </c>
    </row>
    <row r="10" spans="1:7">
      <c r="A10" t="s">
        <v>76</v>
      </c>
      <c r="B10" s="10">
        <f>-B9*Inputs!$B$18</f>
        <v>-90937.5</v>
      </c>
      <c r="C10" s="10">
        <f>-C9*Inputs!$B$18</f>
        <v>-94120.3125</v>
      </c>
      <c r="D10" s="10">
        <f>-D9*Inputs!$B$18</f>
        <v>-97414.523437499985</v>
      </c>
      <c r="E10" s="10">
        <f>-E9*Inputs!$B$18</f>
        <v>-100824.03175781248</v>
      </c>
      <c r="F10" s="10">
        <f>-F9*Inputs!$B$18</f>
        <v>-104352.87286933592</v>
      </c>
      <c r="G10" s="10">
        <f>-G9*Inputs!$B$18</f>
        <v>-108005.22341976267</v>
      </c>
    </row>
    <row r="11" spans="1:7">
      <c r="A11" t="s">
        <v>77</v>
      </c>
      <c r="B11" s="10">
        <f>-Inputs!$B$4*Inputs!$B$19</f>
        <v>-37500</v>
      </c>
      <c r="C11" s="10">
        <f>-Inputs!$B$4*Inputs!$B$19</f>
        <v>-37500</v>
      </c>
      <c r="D11" s="10">
        <f>-Inputs!$B$4*Inputs!$B$19</f>
        <v>-37500</v>
      </c>
      <c r="E11" s="10">
        <f>-Inputs!$B$4*Inputs!$B$19</f>
        <v>-37500</v>
      </c>
      <c r="F11" s="10">
        <f>-Inputs!$B$4*Inputs!$B$19</f>
        <v>-37500</v>
      </c>
      <c r="G11" s="10">
        <f>-Inputs!$B$4*Inputs!$B$19</f>
        <v>-37500</v>
      </c>
    </row>
    <row r="12" spans="1:7">
      <c r="A12" s="26" t="s">
        <v>78</v>
      </c>
      <c r="B12" s="33">
        <f>B9+B10+B11</f>
        <v>1690312.5</v>
      </c>
      <c r="C12" s="33">
        <f t="shared" ref="C12:G12" si="1">C9+C10+C11</f>
        <v>1750785.9374999998</v>
      </c>
      <c r="D12" s="33">
        <f t="shared" si="1"/>
        <v>1813375.9453124995</v>
      </c>
      <c r="E12" s="33">
        <f t="shared" si="1"/>
        <v>1878156.6033984369</v>
      </c>
      <c r="F12" s="33">
        <f t="shared" si="1"/>
        <v>1945204.5845173823</v>
      </c>
      <c r="G12" s="33">
        <f t="shared" si="1"/>
        <v>2014599.2449754905</v>
      </c>
    </row>
    <row r="13" spans="1:7">
      <c r="B13" s="10"/>
      <c r="C13" s="10"/>
      <c r="D13" s="10"/>
      <c r="E13" s="10"/>
      <c r="F13" s="10"/>
      <c r="G13" s="10"/>
    </row>
    <row r="14" spans="1:7">
      <c r="A14" t="s">
        <v>79</v>
      </c>
      <c r="B14" s="10">
        <v>0</v>
      </c>
      <c r="C14" s="10">
        <v>0</v>
      </c>
      <c r="D14" s="10">
        <v>0</v>
      </c>
      <c r="E14" s="10">
        <f>-Inputs!B20</f>
        <v>-150000</v>
      </c>
      <c r="F14" s="10">
        <v>0</v>
      </c>
      <c r="G14" s="10">
        <v>0</v>
      </c>
    </row>
    <row r="15" spans="1:7">
      <c r="A15" s="8" t="s">
        <v>80</v>
      </c>
      <c r="B15" s="30">
        <f>B12+B14</f>
        <v>1690312.5</v>
      </c>
      <c r="C15" s="30">
        <f t="shared" ref="C15:G15" si="2">C12+C14</f>
        <v>1750785.9374999998</v>
      </c>
      <c r="D15" s="30">
        <f t="shared" si="2"/>
        <v>1813375.9453124995</v>
      </c>
      <c r="E15" s="30">
        <f t="shared" si="2"/>
        <v>1728156.6033984369</v>
      </c>
      <c r="F15" s="30">
        <f t="shared" si="2"/>
        <v>1945204.5845173823</v>
      </c>
      <c r="G15" s="30">
        <f t="shared" si="2"/>
        <v>2014599.2449754905</v>
      </c>
    </row>
    <row r="16" spans="1:7">
      <c r="B16" s="10"/>
      <c r="C16" s="10"/>
      <c r="D16" s="10"/>
      <c r="E16" s="10"/>
      <c r="F16" s="10"/>
      <c r="G16" s="10"/>
    </row>
    <row r="17" spans="1:7">
      <c r="A17" t="s">
        <v>81</v>
      </c>
      <c r="B17" s="10">
        <f>-Debt_Schedule!C10</f>
        <v>-853125</v>
      </c>
      <c r="C17" s="10">
        <f>-Debt_Schedule!D10</f>
        <v>-853125</v>
      </c>
      <c r="D17" s="10">
        <f>-Debt_Schedule!E10</f>
        <v>-1182035.6775992408</v>
      </c>
      <c r="E17" s="10">
        <f>-Debt_Schedule!F10</f>
        <v>-1182035.6775992408</v>
      </c>
      <c r="F17" s="10">
        <f>-Debt_Schedule!G10</f>
        <v>-1182035.6775992408</v>
      </c>
      <c r="G17" s="10"/>
    </row>
    <row r="18" spans="1:7">
      <c r="A18" t="s">
        <v>82</v>
      </c>
      <c r="B18" s="10">
        <f>B15+B17</f>
        <v>837187.5</v>
      </c>
      <c r="C18" s="10">
        <f t="shared" ref="C18:F18" si="3">C15+C17</f>
        <v>897660.93749999977</v>
      </c>
      <c r="D18" s="10">
        <f t="shared" si="3"/>
        <v>631340.26771325874</v>
      </c>
      <c r="E18" s="10">
        <f t="shared" si="3"/>
        <v>546120.92579919612</v>
      </c>
      <c r="F18" s="10">
        <f t="shared" si="3"/>
        <v>763168.90691814153</v>
      </c>
      <c r="G18" s="10"/>
    </row>
    <row r="20" spans="1:7">
      <c r="A20" s="8" t="s">
        <v>83</v>
      </c>
      <c r="B20" s="34">
        <f>B12/Debt_Schedule!C10</f>
        <v>1.9813186813186814</v>
      </c>
      <c r="C20" s="34">
        <f>C12/Debt_Schedule!D10</f>
        <v>2.0522032967032966</v>
      </c>
      <c r="D20" s="34">
        <f>D12/Debt_Schedule!E10</f>
        <v>1.5341127003844204</v>
      </c>
      <c r="E20" s="34">
        <f>E12/Debt_Schedule!F10</f>
        <v>1.5889170174736553</v>
      </c>
      <c r="F20" s="34">
        <f>F12/Debt_Schedule!G10</f>
        <v>1.6456394856610137</v>
      </c>
      <c r="G20" s="13"/>
    </row>
    <row r="21" spans="1:7">
      <c r="A21" s="8" t="s">
        <v>84</v>
      </c>
      <c r="B21" s="8" t="str">
        <f>IF(B20&gt;=1.35,"PASS","FAIL")</f>
        <v>PASS</v>
      </c>
      <c r="C21" s="8" t="str">
        <f t="shared" ref="C21:F21" si="4">IF(C20&gt;=1.35,"PASS","FAIL")</f>
        <v>PASS</v>
      </c>
      <c r="D21" s="8" t="str">
        <f t="shared" si="4"/>
        <v>PASS</v>
      </c>
      <c r="E21" s="8" t="str">
        <f t="shared" si="4"/>
        <v>PASS</v>
      </c>
      <c r="F21" s="8" t="str">
        <f t="shared" si="4"/>
        <v>PASS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0D55A-7D65-45A8-A349-2E030CA0238E}">
  <dimension ref="A3:G12"/>
  <sheetViews>
    <sheetView showGridLines="0" zoomScaleNormal="100" workbookViewId="0">
      <selection activeCell="A11" sqref="A11:G11"/>
    </sheetView>
  </sheetViews>
  <sheetFormatPr defaultRowHeight="14.4"/>
  <cols>
    <col min="1" max="1" width="56.5546875" bestFit="1" customWidth="1"/>
    <col min="2" max="2" width="12.109375" bestFit="1" customWidth="1"/>
    <col min="3" max="7" width="10.88671875" bestFit="1" customWidth="1"/>
  </cols>
  <sheetData>
    <row r="3" spans="1:7" ht="15.6">
      <c r="A3" s="9" t="s">
        <v>55</v>
      </c>
    </row>
    <row r="5" spans="1:7">
      <c r="A5" s="24" t="s">
        <v>56</v>
      </c>
      <c r="B5" s="24" t="s">
        <v>57</v>
      </c>
      <c r="C5" s="29" t="s">
        <v>58</v>
      </c>
      <c r="D5" s="24" t="s">
        <v>59</v>
      </c>
      <c r="E5" s="24" t="s">
        <v>60</v>
      </c>
      <c r="F5" s="24" t="s">
        <v>61</v>
      </c>
      <c r="G5" s="24" t="s">
        <v>62</v>
      </c>
    </row>
    <row r="6" spans="1:7">
      <c r="A6" t="s">
        <v>63</v>
      </c>
      <c r="B6" s="10"/>
      <c r="C6" s="10">
        <f>Inputs!B24</f>
        <v>16250000</v>
      </c>
      <c r="D6" s="10">
        <f>C11</f>
        <v>16250000</v>
      </c>
      <c r="E6" s="10">
        <f t="shared" ref="E6:G6" si="0">D11</f>
        <v>16250000</v>
      </c>
      <c r="F6" s="10">
        <f t="shared" si="0"/>
        <v>15921089.32240076</v>
      </c>
      <c r="G6" s="10">
        <f t="shared" si="0"/>
        <v>15574910.834227558</v>
      </c>
    </row>
    <row r="7" spans="1:7">
      <c r="A7" t="s">
        <v>64</v>
      </c>
      <c r="B7" s="11">
        <f>Inputs!B24</f>
        <v>16250000</v>
      </c>
      <c r="C7" s="10"/>
      <c r="D7" s="10"/>
      <c r="E7" s="10"/>
      <c r="F7" s="10"/>
      <c r="G7" s="10"/>
    </row>
    <row r="8" spans="1:7">
      <c r="A8" t="s">
        <v>65</v>
      </c>
      <c r="B8" s="10"/>
      <c r="C8" s="10">
        <f>C6*Inputs!$B$25</f>
        <v>853125</v>
      </c>
      <c r="D8" s="10">
        <f>D6*Inputs!$B$25</f>
        <v>853125</v>
      </c>
      <c r="E8" s="10">
        <f>E6*Inputs!$B$25</f>
        <v>853125</v>
      </c>
      <c r="F8" s="10">
        <f>F6*Inputs!$B$25</f>
        <v>835857.18942603981</v>
      </c>
      <c r="G8" s="10">
        <f>G6*Inputs!$B$25</f>
        <v>817682.81879694678</v>
      </c>
    </row>
    <row r="9" spans="1:7">
      <c r="A9" t="s">
        <v>66</v>
      </c>
      <c r="B9" s="10"/>
      <c r="C9" s="10">
        <v>0</v>
      </c>
      <c r="D9" s="10">
        <v>0</v>
      </c>
      <c r="E9" s="10">
        <f>PMT(Inputs!$B$25, Inputs!$B$27, -Inputs!$B$24) - E8</f>
        <v>328910.67759924079</v>
      </c>
      <c r="F9" s="10">
        <f>PMT(Inputs!$B$25, Inputs!$B$27, -Inputs!$B$24) - F8</f>
        <v>346178.48817320098</v>
      </c>
      <c r="G9" s="10">
        <f>PMT(Inputs!$B$25, Inputs!$B$27, -Inputs!$B$24) - G8</f>
        <v>364352.85880229401</v>
      </c>
    </row>
    <row r="10" spans="1:7">
      <c r="A10" s="25" t="s">
        <v>67</v>
      </c>
      <c r="B10" s="31"/>
      <c r="C10" s="31">
        <f>C8+C9</f>
        <v>853125</v>
      </c>
      <c r="D10" s="31">
        <f t="shared" ref="D10:G10" si="1">D8+D9</f>
        <v>853125</v>
      </c>
      <c r="E10" s="31">
        <f t="shared" si="1"/>
        <v>1182035.6775992408</v>
      </c>
      <c r="F10" s="31">
        <f t="shared" si="1"/>
        <v>1182035.6775992408</v>
      </c>
      <c r="G10" s="31">
        <f t="shared" si="1"/>
        <v>1182035.6775992408</v>
      </c>
    </row>
    <row r="11" spans="1:7" ht="15" thickBot="1">
      <c r="A11" s="22" t="s">
        <v>68</v>
      </c>
      <c r="B11" s="32">
        <f>B7</f>
        <v>16250000</v>
      </c>
      <c r="C11" s="32">
        <f>C6-C9</f>
        <v>16250000</v>
      </c>
      <c r="D11" s="32">
        <f t="shared" ref="D11:G11" si="2">D6-D9</f>
        <v>16250000</v>
      </c>
      <c r="E11" s="32">
        <f t="shared" si="2"/>
        <v>15921089.32240076</v>
      </c>
      <c r="F11" s="32">
        <f t="shared" si="2"/>
        <v>15574910.834227558</v>
      </c>
      <c r="G11" s="32">
        <f t="shared" si="2"/>
        <v>15210557.975425264</v>
      </c>
    </row>
    <row r="12" spans="1:7" ht="15" thickTop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398B-6528-4B24-8B5D-5777F15BA764}">
  <dimension ref="A3:G39"/>
  <sheetViews>
    <sheetView showGridLines="0" tabSelected="1" zoomScaleNormal="100" workbookViewId="0"/>
  </sheetViews>
  <sheetFormatPr defaultRowHeight="14.4"/>
  <cols>
    <col min="1" max="1" width="68.33203125" bestFit="1" customWidth="1"/>
    <col min="2" max="2" width="16" customWidth="1"/>
    <col min="3" max="3" width="15.109375" bestFit="1" customWidth="1"/>
    <col min="4" max="7" width="13.109375" bestFit="1" customWidth="1"/>
  </cols>
  <sheetData>
    <row r="3" spans="1:2" ht="15.6">
      <c r="A3" s="9" t="s">
        <v>85</v>
      </c>
    </row>
    <row r="5" spans="1:2" ht="15" thickBot="1">
      <c r="A5" s="21" t="s">
        <v>86</v>
      </c>
    </row>
    <row r="6" spans="1:2">
      <c r="A6" t="s">
        <v>87</v>
      </c>
      <c r="B6" s="10">
        <f>Pro_Forma!G12</f>
        <v>2014599.2449754905</v>
      </c>
    </row>
    <row r="7" spans="1:2">
      <c r="A7" t="s">
        <v>88</v>
      </c>
      <c r="B7" s="15">
        <f>D31</f>
        <v>0.05</v>
      </c>
    </row>
    <row r="8" spans="1:2">
      <c r="A8" t="s">
        <v>89</v>
      </c>
      <c r="B8" s="10">
        <f>B6/B7</f>
        <v>40291984.89950981</v>
      </c>
    </row>
    <row r="9" spans="1:2">
      <c r="A9" t="s">
        <v>90</v>
      </c>
      <c r="B9" s="10">
        <f>-B8*Inputs!B32</f>
        <v>-805839.69799019617</v>
      </c>
    </row>
    <row r="10" spans="1:2">
      <c r="A10" t="s">
        <v>91</v>
      </c>
      <c r="B10" s="10">
        <f>B8+B9</f>
        <v>39486145.201519616</v>
      </c>
    </row>
    <row r="11" spans="1:2">
      <c r="A11" t="s">
        <v>92</v>
      </c>
      <c r="B11" s="10">
        <f>-Debt_Schedule!G11</f>
        <v>-15210557.975425264</v>
      </c>
    </row>
    <row r="12" spans="1:2" ht="15" thickBot="1">
      <c r="A12" s="22" t="s">
        <v>93</v>
      </c>
      <c r="B12" s="10">
        <f>B10+B11</f>
        <v>24275587.22609435</v>
      </c>
    </row>
    <row r="13" spans="1:2" ht="15" thickTop="1"/>
    <row r="14" spans="1:2" ht="15" thickBot="1">
      <c r="A14" s="21" t="s">
        <v>94</v>
      </c>
    </row>
    <row r="15" spans="1:2">
      <c r="A15" t="s">
        <v>95</v>
      </c>
    </row>
    <row r="16" spans="1:2">
      <c r="A16" t="s">
        <v>96</v>
      </c>
      <c r="B16" s="3">
        <f>IRR(B26:G26)</f>
        <v>0.14453644000038612</v>
      </c>
    </row>
    <row r="17" spans="1:7">
      <c r="A17" t="s">
        <v>97</v>
      </c>
      <c r="B17" s="13">
        <f>SUM(C26:G26)/(-B26)</f>
        <v>1.8531667281243227</v>
      </c>
    </row>
    <row r="19" spans="1:7" ht="15" thickBot="1">
      <c r="A19" s="21" t="s">
        <v>98</v>
      </c>
    </row>
    <row r="20" spans="1:7">
      <c r="A20" t="s">
        <v>99</v>
      </c>
    </row>
    <row r="21" spans="1:7">
      <c r="A21" s="14" t="s">
        <v>100</v>
      </c>
      <c r="B21" s="3">
        <f>IRR(B27:G27)</f>
        <v>0.25340683824153065</v>
      </c>
    </row>
    <row r="22" spans="1:7" ht="15" thickBot="1">
      <c r="A22" s="23" t="s">
        <v>101</v>
      </c>
      <c r="B22" s="13">
        <f>SUM(C27:G27)/(-B27)</f>
        <v>2.8304876723063237</v>
      </c>
    </row>
    <row r="23" spans="1:7" ht="15" thickTop="1"/>
    <row r="25" spans="1:7">
      <c r="A25" t="s">
        <v>4</v>
      </c>
      <c r="B25" t="s">
        <v>102</v>
      </c>
      <c r="C25" t="s">
        <v>58</v>
      </c>
      <c r="D25" t="s">
        <v>59</v>
      </c>
      <c r="E25" t="s">
        <v>60</v>
      </c>
      <c r="F25" t="s">
        <v>61</v>
      </c>
      <c r="G25" t="s">
        <v>62</v>
      </c>
    </row>
    <row r="26" spans="1:7">
      <c r="A26" t="s">
        <v>103</v>
      </c>
      <c r="B26">
        <f>-(D30*(1+Inputs!$B$10))</f>
        <v>-26125000</v>
      </c>
      <c r="C26">
        <f>Pro_Forma!B15</f>
        <v>1690312.5</v>
      </c>
      <c r="D26">
        <f>Pro_Forma!C15</f>
        <v>1750785.9374999998</v>
      </c>
      <c r="E26">
        <f>Pro_Forma!D15</f>
        <v>1813375.9453124995</v>
      </c>
      <c r="F26">
        <f>Pro_Forma!E15</f>
        <v>1728156.6033984369</v>
      </c>
      <c r="G26">
        <f>Pro_Forma!F15+B10</f>
        <v>41431349.786036998</v>
      </c>
    </row>
    <row r="27" spans="1:7">
      <c r="A27" t="s">
        <v>104</v>
      </c>
      <c r="B27">
        <f>-((D30*(1+Inputs!$B$10)) - (D30*Inputs!$B$23))</f>
        <v>-9875000</v>
      </c>
      <c r="C27">
        <f>Pro_Forma!B18</f>
        <v>837187.5</v>
      </c>
      <c r="D27">
        <f>Pro_Forma!C18</f>
        <v>897660.93749999977</v>
      </c>
      <c r="E27">
        <f>Pro_Forma!D18</f>
        <v>631340.26771325874</v>
      </c>
      <c r="F27">
        <f>Pro_Forma!E18</f>
        <v>546120.92579919612</v>
      </c>
      <c r="G27">
        <f>Pro_Forma!F18+B12</f>
        <v>25038756.133012492</v>
      </c>
    </row>
    <row r="30" spans="1:7">
      <c r="C30" t="s">
        <v>106</v>
      </c>
      <c r="D30" s="19">
        <f>Inputs!B9</f>
        <v>25000000</v>
      </c>
    </row>
    <row r="31" spans="1:7" ht="15" thickBot="1">
      <c r="A31" s="21" t="s">
        <v>105</v>
      </c>
      <c r="C31" t="s">
        <v>107</v>
      </c>
      <c r="D31" s="20">
        <f>Inputs!B31</f>
        <v>0.05</v>
      </c>
    </row>
    <row r="33" spans="2:7">
      <c r="B33" s="18">
        <f>B21</f>
        <v>0.25340683824153065</v>
      </c>
      <c r="C33" s="4">
        <v>23000000</v>
      </c>
      <c r="D33" s="4">
        <v>24000000</v>
      </c>
      <c r="E33" s="17">
        <v>25000000</v>
      </c>
      <c r="F33" s="4">
        <v>26000000</v>
      </c>
      <c r="G33" s="4">
        <v>27000000</v>
      </c>
    </row>
    <row r="34" spans="2:7">
      <c r="B34" s="16">
        <v>4.4999999999999998E-2</v>
      </c>
      <c r="C34" s="3">
        <f t="dataTable" ref="C34:G39" dt2D="1" dtr="1" r1="D30" r2="D31"/>
        <v>0.31547019465934101</v>
      </c>
      <c r="D34" s="3">
        <v>0.30301705886030494</v>
      </c>
      <c r="E34" s="3">
        <v>0.29121875479434634</v>
      </c>
      <c r="F34" s="3">
        <v>0.28001542478698127</v>
      </c>
      <c r="G34" s="3">
        <v>0.26935480976544723</v>
      </c>
    </row>
    <row r="35" spans="2:7">
      <c r="B35" s="3">
        <v>4.7500000000000001E-2</v>
      </c>
      <c r="C35" s="3">
        <v>0.29586653022033271</v>
      </c>
      <c r="D35" s="3">
        <v>0.28356236582563099</v>
      </c>
      <c r="E35" s="3">
        <v>0.2719063311769121</v>
      </c>
      <c r="F35" s="3">
        <v>0.26083910141487388</v>
      </c>
      <c r="G35" s="3">
        <v>0.25030889108883558</v>
      </c>
    </row>
    <row r="36" spans="2:7">
      <c r="B36" s="3">
        <v>0.05</v>
      </c>
      <c r="C36" s="3">
        <v>0.27708960987494402</v>
      </c>
      <c r="D36" s="3">
        <v>0.26492733649620592</v>
      </c>
      <c r="E36" s="3">
        <v>0.25340683824153065</v>
      </c>
      <c r="F36" s="3">
        <v>0.2424692930590473</v>
      </c>
      <c r="G36" s="3">
        <v>0.23206336274058148</v>
      </c>
    </row>
    <row r="37" spans="2:7">
      <c r="B37" s="3">
        <v>5.2499999999999998E-2</v>
      </c>
      <c r="C37" s="3">
        <v>0.25903717729530595</v>
      </c>
      <c r="D37" s="3">
        <v>0.2470105314118709</v>
      </c>
      <c r="E37" s="3">
        <v>0.23561961515495966</v>
      </c>
      <c r="F37" s="3">
        <v>0.22480608243810729</v>
      </c>
      <c r="G37" s="3">
        <v>0.21451901871446033</v>
      </c>
    </row>
    <row r="38" spans="2:7">
      <c r="B38" s="3">
        <v>5.5E-2</v>
      </c>
      <c r="C38" s="3">
        <v>0.2416209745616289</v>
      </c>
      <c r="D38" s="3">
        <v>0.22972439170641645</v>
      </c>
      <c r="E38" s="3">
        <v>0.21845776957682883</v>
      </c>
      <c r="F38" s="3">
        <v>0.20776321388717367</v>
      </c>
      <c r="G38" s="3">
        <v>0.19759021253921505</v>
      </c>
    </row>
    <row r="39" spans="2:7">
      <c r="B39" s="3">
        <v>0.06</v>
      </c>
      <c r="C39" s="3">
        <v>0.20839852415906668</v>
      </c>
      <c r="D39" s="3">
        <v>0.19674770897444138</v>
      </c>
      <c r="E39" s="3">
        <v>0.18571603888415678</v>
      </c>
      <c r="F39" s="3">
        <v>0.17524645948793505</v>
      </c>
      <c r="G39" s="3">
        <v>0.16528920772106726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Pro_Forma</vt:lpstr>
      <vt:lpstr>Debt_Schedule</vt:lpstr>
      <vt:lpstr>Returns_Sensitivity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 Arora</dc:creator>
  <cp:lastModifiedBy>Mick Arora</cp:lastModifiedBy>
  <dcterms:created xsi:type="dcterms:W3CDTF">2026-10-09T18:14:32Z</dcterms:created>
  <dcterms:modified xsi:type="dcterms:W3CDTF">2026-10-09T21:17:04Z</dcterms:modified>
</cp:coreProperties>
</file>